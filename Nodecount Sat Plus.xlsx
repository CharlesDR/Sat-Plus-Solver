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Rose\Downloads\"/>
    </mc:Choice>
  </mc:AlternateContent>
  <xr:revisionPtr revIDLastSave="0" documentId="8_{9E7A6E58-FAB0-4647-A312-94462D980CD3}" xr6:coauthVersionLast="47" xr6:coauthVersionMax="47" xr10:uidLastSave="{00000000-0000-0000-0000-000000000000}"/>
  <bookViews>
    <workbookView xWindow="4260" yWindow="3255" windowWidth="21600" windowHeight="12645" xr2:uid="{586E126A-D7B6-4F67-B215-9A27432F5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<sst xmlns="http://schemas.openxmlformats.org/spreadsheetml/2006/main" count="26" uniqueCount="26">
  <si>
    <t>Resource Type</t>
  </si>
  <si>
    <t>Fracking Site</t>
  </si>
  <si>
    <t>Impure</t>
  </si>
  <si>
    <t>Normal</t>
  </si>
  <si>
    <t>Pure</t>
  </si>
  <si>
    <t>Algal Mass</t>
  </si>
  <si>
    <t>Aurovite Ore</t>
  </si>
  <si>
    <t>Callanite Ore</t>
  </si>
  <si>
    <t>Chlorine Gas</t>
  </si>
  <si>
    <t>Coal</t>
  </si>
  <si>
    <t>Crude Oil</t>
  </si>
  <si>
    <t>Dirt</t>
  </si>
  <si>
    <t>Geyser</t>
  </si>
  <si>
    <t>Kerr Crystal</t>
  </si>
  <si>
    <t>Kyalite</t>
  </si>
  <si>
    <t>Larrussite Ore</t>
  </si>
  <si>
    <t>Loam</t>
  </si>
  <si>
    <t>Montanion Ore</t>
  </si>
  <si>
    <t>Nitrogen Gas</t>
  </si>
  <si>
    <t>Peat</t>
  </si>
  <si>
    <t>SAM</t>
  </si>
  <si>
    <t>Siterite Ore</t>
  </si>
  <si>
    <t>Sulfur</t>
  </si>
  <si>
    <t>Toxic Air</t>
  </si>
  <si>
    <t>Uranium</t>
  </si>
  <si>
    <t>Total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</si>
</sst>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CD885-AEB3-4DE4-953D-DA9287BD5AB2}" name="Table1" displayName="Table1" ref="A1:F21" totalsRowShown="0">
  <autoFilter ref="A1:F21" xr:uid="{FB4CD885-AEB3-4DE4-953D-DA9287BD5AB2}"/>
  <tableColumns count="6">
    <tableColumn id="1" xr3:uid="{FF400511-2FFF-4239-A7E7-133382C74E05}" name="Resource Type"/>
    <tableColumn id="2" xr3:uid="{33DE8925-6111-474C-B32D-D4587EAFC010}" name="Fracking Site"/>
    <tableColumn id="3" xr3:uid="{13B5D54C-1906-4FC9-AFE8-BCF8D73F36D8}" name="Impure"/>
    <tableColumn id="4" xr3:uid="{BEAB8DC6-EF6D-471F-A9A3-81BF774F357C}" name="Normal"/>
    <tableColumn id="5" xr3:uid="{28A42D34-F607-4B46-9D84-5E3B6867AA9D}" name="Pure"/>
    <tableColumn id="6" xr3:uid="{CE5BF9C1-1587-42F0-8721-ECCD7CA9B9EC}" name="Total Nodes">
      <calculatedColumnFormula>SUM(Table1[[#This Row],[Fracking Site]:[Pure]])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1EE4-8914-4DAA-BF10-9AFC41655392}">
  <dimension ref="A1:F21"/>
  <sheetViews>
    <sheetView tabSelected="1" workbookViewId="0">
      <selection activeCell="F2" sqref="F2"/>
    </sheetView>
  </sheetViews>
  <sheetFormatPr defaultRowHeight="15" x14ac:dyDescent="0.25"/>
  <cols>
    <col min="1" max="1" width="16.42578125" customWidth="1"/>
    <col min="2" max="2" width="14.5703125" customWidth="1"/>
    <col min="3" max="3" width="9.5703125" customWidth="1"/>
    <col min="4" max="4" width="9.7109375" customWidth="1"/>
    <col min="6" max="6" width="13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25">
      <c r="A2" t="s">
        <v>5</v>
      </c>
      <c r="D2">
        <v>50</v>
      </c>
      <c r="F2">
        <f>SUM(Table1[[#This Row],[Fracking Site]:[Pure]])</f>
        <v>50</v>
      </c>
    </row>
    <row r="3" spans="1:6" x14ac:dyDescent="0.25">
      <c r="A3" t="s">
        <v>6</v>
      </c>
      <c r="D3">
        <v>9</v>
      </c>
      <c r="E3">
        <v>8</v>
      </c>
      <c r="F3">
        <f>SUM(Table1[[#This Row],[Fracking Site]:[Pure]])</f>
        <v>17</v>
      </c>
    </row>
    <row r="4" spans="1:6" x14ac:dyDescent="0.25">
      <c r="A4" t="s">
        <v>7</v>
      </c>
      <c r="C4">
        <v>13</v>
      </c>
      <c r="D4">
        <v>29</v>
      </c>
      <c r="E4">
        <v>13</v>
      </c>
      <c r="F4">
        <f>SUM(Table1[[#This Row],[Fracking Site]:[Pure]])</f>
        <v>55</v>
      </c>
    </row>
    <row r="5" spans="1:6" x14ac:dyDescent="0.25">
      <c r="A5" t="s">
        <v>8</v>
      </c>
      <c r="B5">
        <v>3</v>
      </c>
      <c r="F5">
        <f>SUM(Table1[[#This Row],[Fracking Site]:[Pure]])</f>
        <v>3</v>
      </c>
    </row>
    <row r="6" spans="1:6" x14ac:dyDescent="0.25">
      <c r="A6" t="s">
        <v>9</v>
      </c>
      <c r="C6">
        <v>15</v>
      </c>
      <c r="D6">
        <v>31</v>
      </c>
      <c r="E6">
        <v>16</v>
      </c>
      <c r="F6">
        <f>SUM(Table1[[#This Row],[Fracking Site]:[Pure]])</f>
        <v>62</v>
      </c>
    </row>
    <row r="7" spans="1:6" x14ac:dyDescent="0.25">
      <c r="A7" t="s">
        <v>10</v>
      </c>
      <c r="B7">
        <v>3</v>
      </c>
      <c r="C7">
        <v>10</v>
      </c>
      <c r="D7">
        <v>12</v>
      </c>
      <c r="E7">
        <v>8</v>
      </c>
      <c r="F7">
        <f>SUM(Table1[[#This Row],[Fracking Site]:[Pure]])</f>
        <v>33</v>
      </c>
    </row>
    <row r="8" spans="1:6" x14ac:dyDescent="0.25">
      <c r="A8" t="s">
        <v>11</v>
      </c>
      <c r="C8">
        <v>14</v>
      </c>
      <c r="D8">
        <v>18</v>
      </c>
      <c r="E8">
        <v>10</v>
      </c>
      <c r="F8">
        <f>SUM(Table1[[#This Row],[Fracking Site]:[Pure]])</f>
        <v>42</v>
      </c>
    </row>
    <row r="9" spans="1:6" x14ac:dyDescent="0.25">
      <c r="A9" t="s">
        <v>12</v>
      </c>
      <c r="C9">
        <v>9</v>
      </c>
      <c r="D9">
        <v>13</v>
      </c>
      <c r="E9">
        <v>9</v>
      </c>
      <c r="F9">
        <f>SUM(Table1[[#This Row],[Fracking Site]:[Pure]])</f>
        <v>31</v>
      </c>
    </row>
    <row r="10" spans="1:6" x14ac:dyDescent="0.25">
      <c r="A10" t="s">
        <v>13</v>
      </c>
      <c r="D10">
        <v>4</v>
      </c>
      <c r="F10">
        <f>SUM(Table1[[#This Row],[Fracking Site]:[Pure]])</f>
        <v>4</v>
      </c>
    </row>
    <row r="11" spans="1:6" x14ac:dyDescent="0.25">
      <c r="A11" t="s">
        <v>14</v>
      </c>
      <c r="C11">
        <v>3</v>
      </c>
      <c r="D11">
        <v>7</v>
      </c>
      <c r="E11">
        <v>7</v>
      </c>
      <c r="F11">
        <f>SUM(Table1[[#This Row],[Fracking Site]:[Pure]])</f>
        <v>17</v>
      </c>
    </row>
    <row r="12" spans="1:6" x14ac:dyDescent="0.25">
      <c r="A12" t="s">
        <v>15</v>
      </c>
      <c r="C12">
        <v>15</v>
      </c>
      <c r="D12">
        <v>50</v>
      </c>
      <c r="E12">
        <v>29</v>
      </c>
      <c r="F12">
        <f>SUM(Table1[[#This Row],[Fracking Site]:[Pure]])</f>
        <v>94</v>
      </c>
    </row>
    <row r="13" spans="1:6" x14ac:dyDescent="0.25">
      <c r="A13" t="s">
        <v>16</v>
      </c>
      <c r="C13">
        <v>4</v>
      </c>
      <c r="D13">
        <v>27</v>
      </c>
      <c r="E13">
        <v>8</v>
      </c>
      <c r="F13">
        <f>SUM(Table1[[#This Row],[Fracking Site]:[Pure]])</f>
        <v>39</v>
      </c>
    </row>
    <row r="14" spans="1:6" x14ac:dyDescent="0.25">
      <c r="A14" t="s">
        <v>17</v>
      </c>
      <c r="C14">
        <v>5</v>
      </c>
      <c r="D14">
        <v>6</v>
      </c>
      <c r="E14">
        <v>6</v>
      </c>
      <c r="F14">
        <f>SUM(Table1[[#This Row],[Fracking Site]:[Pure]])</f>
        <v>17</v>
      </c>
    </row>
    <row r="15" spans="1:6" x14ac:dyDescent="0.25">
      <c r="A15" t="s">
        <v>18</v>
      </c>
      <c r="B15">
        <v>6</v>
      </c>
      <c r="F15">
        <f>SUM(Table1[[#This Row],[Fracking Site]:[Pure]])</f>
        <v>6</v>
      </c>
    </row>
    <row r="16" spans="1:6" x14ac:dyDescent="0.25">
      <c r="A16" t="s">
        <v>19</v>
      </c>
      <c r="C16">
        <v>12</v>
      </c>
      <c r="D16">
        <v>20</v>
      </c>
      <c r="E16">
        <v>3</v>
      </c>
      <c r="F16">
        <f>SUM(Table1[[#This Row],[Fracking Site]:[Pure]])</f>
        <v>35</v>
      </c>
    </row>
    <row r="17" spans="1:6" x14ac:dyDescent="0.25">
      <c r="A17" t="s">
        <v>20</v>
      </c>
      <c r="C17">
        <v>10</v>
      </c>
      <c r="D17">
        <v>6</v>
      </c>
      <c r="E17">
        <v>3</v>
      </c>
      <c r="F17">
        <f>SUM(Table1[[#This Row],[Fracking Site]:[Pure]])</f>
        <v>19</v>
      </c>
    </row>
    <row r="18" spans="1:6" x14ac:dyDescent="0.25">
      <c r="A18" t="s">
        <v>21</v>
      </c>
      <c r="C18">
        <v>39</v>
      </c>
      <c r="D18">
        <v>42</v>
      </c>
      <c r="E18">
        <v>46</v>
      </c>
      <c r="F18">
        <f>SUM(Table1[[#This Row],[Fracking Site]:[Pure]])</f>
        <v>127</v>
      </c>
    </row>
    <row r="19" spans="1:6" x14ac:dyDescent="0.25">
      <c r="A19" t="s">
        <v>22</v>
      </c>
      <c r="C19">
        <v>6</v>
      </c>
      <c r="D19">
        <v>5</v>
      </c>
      <c r="E19">
        <v>5</v>
      </c>
      <c r="F19">
        <f>SUM(Table1[[#This Row],[Fracking Site]:[Pure]])</f>
        <v>16</v>
      </c>
    </row>
    <row r="20" spans="1:6" x14ac:dyDescent="0.25">
      <c r="A20" t="s">
        <v>23</v>
      </c>
      <c r="D20">
        <v>14</v>
      </c>
      <c r="F20">
        <f>SUM(Table1[[#This Row],[Fracking Site]:[Pure]])</f>
        <v>14</v>
      </c>
    </row>
    <row r="21" spans="1:6" x14ac:dyDescent="0.25">
      <c r="A21" t="s">
        <v>24</v>
      </c>
      <c r="C21">
        <v>3</v>
      </c>
      <c r="D21">
        <v>2</v>
      </c>
      <c r="F21">
        <f>SUM(Table1[[#This Row],[Fracking Site]:[Pure]])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Rose</dc:creator>
  <cp:lastModifiedBy>Charles Rose</cp:lastModifiedBy>
  <dcterms:created xsi:type="dcterms:W3CDTF">2026-09-30T16:09:36Z</dcterms:created>
  <dcterms:modified xsi:type="dcterms:W3CDTF">2026-09-30T16:10:18Z</dcterms:modified>
</cp:coreProperties>
</file>